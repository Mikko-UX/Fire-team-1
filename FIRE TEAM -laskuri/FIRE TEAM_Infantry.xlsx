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ikko.jappinen/Desktop/FT-python/"/>
    </mc:Choice>
  </mc:AlternateContent>
  <xr:revisionPtr revIDLastSave="0" documentId="13_ncr:1_{4392DFB7-D72A-F446-9A56-7804521B043D}" xr6:coauthVersionLast="47" xr6:coauthVersionMax="47" xr10:uidLastSave="{00000000-0000-0000-0000-000000000000}"/>
  <bookViews>
    <workbookView xWindow="4080" yWindow="760" windowWidth="29040" windowHeight="18580" activeTab="5" xr2:uid="{00000000-000D-0000-FFFF-FFFF00000000}"/>
  </bookViews>
  <sheets>
    <sheet name="Calculator" sheetId="1" r:id="rId1"/>
    <sheet name="Weapons" sheetId="2" r:id="rId2"/>
    <sheet name="Kill_Table" sheetId="3" r:id="rId3"/>
    <sheet name="Sheet1" sheetId="4" r:id="rId4"/>
    <sheet name="Infantry_Calculator" sheetId="5" r:id="rId5"/>
    <sheet name="Infantry_Fire_Tab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7" i="5" s="1"/>
  <c r="B8" i="5" s="1"/>
  <c r="B15" i="5" s="1"/>
  <c r="B5" i="5"/>
  <c r="B13" i="5" s="1"/>
  <c r="B14" i="5" s="1"/>
  <c r="B3" i="5"/>
  <c r="B33" i="1"/>
  <c r="B10" i="1"/>
  <c r="B5" i="1"/>
  <c r="B4" i="1"/>
  <c r="B16" i="5" l="1"/>
  <c r="B17" i="5" s="1"/>
  <c r="B6" i="1"/>
  <c r="B7" i="1" s="1"/>
  <c r="B9" i="1" s="1"/>
  <c r="B11" i="1" s="1"/>
  <c r="B13" i="1" l="1"/>
  <c r="B12" i="1"/>
  <c r="B34" i="1"/>
</calcChain>
</file>

<file path=xl/sharedStrings.xml><?xml version="1.0" encoding="utf-8"?>
<sst xmlns="http://schemas.openxmlformats.org/spreadsheetml/2006/main" count="586" uniqueCount="216">
  <si>
    <t>Firer (weapon/unit):</t>
  </si>
  <si>
    <t>Target (weapon/unit):</t>
  </si>
  <si>
    <t>Range (hexes):</t>
  </si>
  <si>
    <t>Ammo/armor type (from firer):</t>
  </si>
  <si>
    <t>Firer firepower:</t>
  </si>
  <si>
    <t>Target armor (front vs ammo):</t>
  </si>
  <si>
    <t>Armor differential (FP - Armor):</t>
  </si>
  <si>
    <t>Range band (1–6):</t>
  </si>
  <si>
    <t>Base Kill Number:</t>
  </si>
  <si>
    <t>Total die-roll modifier:</t>
  </si>
  <si>
    <t>Final Kill Number (after modifiers):</t>
  </si>
  <si>
    <t>Final Chance to Kill:</t>
  </si>
  <si>
    <t>Result note:</t>
  </si>
  <si>
    <t>Type</t>
  </si>
  <si>
    <t>Description</t>
  </si>
  <si>
    <t>Use? (X)</t>
  </si>
  <si>
    <t>Modifier</t>
  </si>
  <si>
    <t>Firer</t>
  </si>
  <si>
    <t>leadership rating (6.31)</t>
  </si>
  <si>
    <t xml:space="preserve"> </t>
  </si>
  <si>
    <t>Chemical Warfare (17)</t>
  </si>
  <si>
    <t>US Chemical attacks (17)</t>
  </si>
  <si>
    <t>Soviet Chemical attacks (17)</t>
  </si>
  <si>
    <t>vs. flashes only (15)</t>
  </si>
  <si>
    <t>firing at night (15)</t>
  </si>
  <si>
    <t>Target</t>
  </si>
  <si>
    <t>target in defilade</t>
  </si>
  <si>
    <t>target is cautious moving</t>
  </si>
  <si>
    <t>target in wood buildings</t>
  </si>
  <si>
    <t>target in stone buildings</t>
  </si>
  <si>
    <t>target in woods vs. direct fire</t>
  </si>
  <si>
    <t>target in woods vs. indirect fire</t>
  </si>
  <si>
    <t>target in cover</t>
  </si>
  <si>
    <t>target is a vehicle</t>
  </si>
  <si>
    <t>target entrenched vs. direct fire (16.2)</t>
  </si>
  <si>
    <t>target entrenched vs. indirect fire (16.2)</t>
  </si>
  <si>
    <t>Advanced effect of height (18.3)</t>
  </si>
  <si>
    <t>Debug: Used range band:</t>
  </si>
  <si>
    <t>Debug: Differential row used in table:</t>
  </si>
  <si>
    <t>Weapon</t>
  </si>
  <si>
    <t>Side</t>
  </si>
  <si>
    <t>HT Front armor</t>
  </si>
  <si>
    <t>HT Flank armor</t>
  </si>
  <si>
    <t>HV Front armor</t>
  </si>
  <si>
    <t>HV Flank armor</t>
  </si>
  <si>
    <t>Ammo type</t>
  </si>
  <si>
    <t>Firepower</t>
  </si>
  <si>
    <t>Range1</t>
  </si>
  <si>
    <t>Range2</t>
  </si>
  <si>
    <t>Range3</t>
  </si>
  <si>
    <t>Range4</t>
  </si>
  <si>
    <t>Range5</t>
  </si>
  <si>
    <t>Range6</t>
  </si>
  <si>
    <t>Range 7</t>
  </si>
  <si>
    <t>Range8</t>
  </si>
  <si>
    <t>Range 9</t>
  </si>
  <si>
    <t>Range 10</t>
  </si>
  <si>
    <t>HT Firepower</t>
  </si>
  <si>
    <t>HV Firepower</t>
  </si>
  <si>
    <t>Range1_Min</t>
  </si>
  <si>
    <t>Range1_Max</t>
  </si>
  <si>
    <t>Range2_Min</t>
  </si>
  <si>
    <t>Range2_Max</t>
  </si>
  <si>
    <t>Range3_Min</t>
  </si>
  <si>
    <t>Range3_Max</t>
  </si>
  <si>
    <t>Range4_Min</t>
  </si>
  <si>
    <t>Range4_Max</t>
  </si>
  <si>
    <t>Range5_Min</t>
  </si>
  <si>
    <t>Range5_Max</t>
  </si>
  <si>
    <t>Range6_Min</t>
  </si>
  <si>
    <t>Range6_Max</t>
  </si>
  <si>
    <t>Heli RKT</t>
  </si>
  <si>
    <t>US</t>
  </si>
  <si>
    <t>HT</t>
  </si>
  <si>
    <t>6-22</t>
  </si>
  <si>
    <t>23-33</t>
  </si>
  <si>
    <t>34-42</t>
  </si>
  <si>
    <t>Law RKT</t>
  </si>
  <si>
    <t>0</t>
  </si>
  <si>
    <t>1</t>
  </si>
  <si>
    <t>2</t>
  </si>
  <si>
    <t>3</t>
  </si>
  <si>
    <t>4-5</t>
  </si>
  <si>
    <t>Dragon MSL</t>
  </si>
  <si>
    <t>3-10</t>
  </si>
  <si>
    <t>TOW MSL</t>
  </si>
  <si>
    <t>7-40</t>
  </si>
  <si>
    <t>6</t>
  </si>
  <si>
    <t>5</t>
  </si>
  <si>
    <t>4</t>
  </si>
  <si>
    <t>2-3</t>
  </si>
  <si>
    <t>Hellfire MSL</t>
  </si>
  <si>
    <t>6-55</t>
  </si>
  <si>
    <t>Stinger SAM</t>
  </si>
  <si>
    <t>0-20</t>
  </si>
  <si>
    <t>21-25</t>
  </si>
  <si>
    <t>26-30</t>
  </si>
  <si>
    <t>M1</t>
  </si>
  <si>
    <t>HV</t>
  </si>
  <si>
    <t>0-7</t>
  </si>
  <si>
    <t>8-11</t>
  </si>
  <si>
    <t>12-14</t>
  </si>
  <si>
    <t>15-18</t>
  </si>
  <si>
    <t>19-21</t>
  </si>
  <si>
    <t>22-26</t>
  </si>
  <si>
    <t>27-32</t>
  </si>
  <si>
    <t>M2</t>
  </si>
  <si>
    <t>0-5</t>
  </si>
  <si>
    <t>6-7</t>
  </si>
  <si>
    <t>8-9</t>
  </si>
  <si>
    <t>10-11</t>
  </si>
  <si>
    <t>19-22</t>
  </si>
  <si>
    <t>AH-64</t>
  </si>
  <si>
    <t>M60a3</t>
  </si>
  <si>
    <t>0-6</t>
  </si>
  <si>
    <t>7-9</t>
  </si>
  <si>
    <t>12-13</t>
  </si>
  <si>
    <t>14-16</t>
  </si>
  <si>
    <t>17-22</t>
  </si>
  <si>
    <t>23-30</t>
  </si>
  <si>
    <t>Range 1</t>
  </si>
  <si>
    <t>Range 2</t>
  </si>
  <si>
    <t>Range 3</t>
  </si>
  <si>
    <t>Range 4</t>
  </si>
  <si>
    <t>Range 5</t>
  </si>
  <si>
    <t>Range 6</t>
  </si>
  <si>
    <t>Range 8</t>
  </si>
  <si>
    <t>Soviet</t>
  </si>
  <si>
    <t>6-20</t>
  </si>
  <si>
    <t>21-30</t>
  </si>
  <si>
    <t>31-37</t>
  </si>
  <si>
    <t>RPG-16 RKT</t>
  </si>
  <si>
    <t>Sagger MSL</t>
  </si>
  <si>
    <t>12-37</t>
  </si>
  <si>
    <t>9-11</t>
  </si>
  <si>
    <t>7-8</t>
  </si>
  <si>
    <t>Spandrel MSL</t>
  </si>
  <si>
    <t>4-40</t>
  </si>
  <si>
    <t>Spigot MSL</t>
  </si>
  <si>
    <t>4-25</t>
  </si>
  <si>
    <t>Spiral MSL</t>
  </si>
  <si>
    <t>9-55</t>
  </si>
  <si>
    <t>SA-14 SAM</t>
  </si>
  <si>
    <t>0-27</t>
  </si>
  <si>
    <t>28-45</t>
  </si>
  <si>
    <t>AGS-17</t>
  </si>
  <si>
    <t>Ht</t>
  </si>
  <si>
    <t>1-3</t>
  </si>
  <si>
    <t>7</t>
  </si>
  <si>
    <t>SPG-9</t>
  </si>
  <si>
    <t>0-4</t>
  </si>
  <si>
    <t>BMP-1</t>
  </si>
  <si>
    <t>BMP-2</t>
  </si>
  <si>
    <t>5-6</t>
  </si>
  <si>
    <t>9-10</t>
  </si>
  <si>
    <t>11-12</t>
  </si>
  <si>
    <t>13-14</t>
  </si>
  <si>
    <t>15-17</t>
  </si>
  <si>
    <t>18-20</t>
  </si>
  <si>
    <t xml:space="preserve"> ASU-85</t>
  </si>
  <si>
    <t>Mi-6</t>
  </si>
  <si>
    <t>Mi-24</t>
  </si>
  <si>
    <t>SAU-122</t>
  </si>
  <si>
    <t>0-2</t>
  </si>
  <si>
    <t>T-80</t>
  </si>
  <si>
    <t>15-16</t>
  </si>
  <si>
    <t>17-19</t>
  </si>
  <si>
    <t>20-21</t>
  </si>
  <si>
    <t>22-23</t>
  </si>
  <si>
    <t>24-26</t>
  </si>
  <si>
    <t>T-72</t>
  </si>
  <si>
    <t>T-62</t>
  </si>
  <si>
    <t>10</t>
  </si>
  <si>
    <t>HV Kill Table</t>
  </si>
  <si>
    <t>Differential</t>
  </si>
  <si>
    <t>5 / &gt;5</t>
  </si>
  <si>
    <t>HT Kill Table</t>
  </si>
  <si>
    <t>8 / &gt;8</t>
  </si>
  <si>
    <t>HT front</t>
  </si>
  <si>
    <t>HT flank</t>
  </si>
  <si>
    <t>Hv front</t>
  </si>
  <si>
    <t>HV flank</t>
  </si>
  <si>
    <t xml:space="preserve">T-80 </t>
  </si>
  <si>
    <t>BMP</t>
  </si>
  <si>
    <t>Infantry Firepower:</t>
  </si>
  <si>
    <t>Base die roll (D10):</t>
  </si>
  <si>
    <t>Final modified die roll:</t>
  </si>
  <si>
    <t>Infantry table column (FP):</t>
  </si>
  <si>
    <t>Infantry Fire Table result:</t>
  </si>
  <si>
    <t>Result note (Infantry):</t>
  </si>
  <si>
    <t>Infantry Firepower used:</t>
  </si>
  <si>
    <t>Modified die-roll to check (1–14):</t>
  </si>
  <si>
    <t>120+</t>
  </si>
  <si>
    <t>(+1)</t>
  </si>
  <si>
    <t>E</t>
  </si>
  <si>
    <t>(+2)</t>
  </si>
  <si>
    <t>-</t>
  </si>
  <si>
    <t>fire power 4</t>
  </si>
  <si>
    <t>fp 6</t>
  </si>
  <si>
    <t>fp 8</t>
  </si>
  <si>
    <t>fp 10</t>
  </si>
  <si>
    <t>modified Die roll 1</t>
  </si>
  <si>
    <t>modified Die roll 2</t>
  </si>
  <si>
    <t>modified Die roll  3</t>
  </si>
  <si>
    <t>modified Die roll 4</t>
  </si>
  <si>
    <t>modified Die roll  5</t>
  </si>
  <si>
    <t>modified Die roll 6</t>
  </si>
  <si>
    <t>modified Die roll  7</t>
  </si>
  <si>
    <t>modified Die roll 8</t>
  </si>
  <si>
    <t>modified Die roll 9</t>
  </si>
  <si>
    <t>modified Die roll 10</t>
  </si>
  <si>
    <t>modified Die roll 11</t>
  </si>
  <si>
    <t>modified Die roll 12</t>
  </si>
  <si>
    <t>modified Die roll 13</t>
  </si>
  <si>
    <t>modified Die roll 14</t>
  </si>
  <si>
    <t>Fire power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</si>
</sst>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136" workbookViewId="0">
      <selection activeCell="C9" sqref="C9"/>
    </sheetView>
  </sheetViews>
  <sheetFormatPr baseColWidth="10" defaultColWidth="8.83203125" defaultRowHeight="15" x14ac:dyDescent="0.2"/>
  <cols>
    <col min="1" max="4" width="30" customWidth="1"/>
  </cols>
  <sheetData>
    <row r="1" spans="1:4" x14ac:dyDescent="0.2">
      <c r="A1" t="s">
        <v>0</v>
      </c>
      <c r="B1" t="s">
        <v>83</v>
      </c>
    </row>
    <row r="2" spans="1:4" x14ac:dyDescent="0.2">
      <c r="A2" t="s">
        <v>1</v>
      </c>
      <c r="B2" t="s">
        <v>170</v>
      </c>
    </row>
    <row r="3" spans="1:4" x14ac:dyDescent="0.2">
      <c r="A3" t="s">
        <v>2</v>
      </c>
      <c r="B3">
        <v>8</v>
      </c>
    </row>
    <row r="4" spans="1:4" x14ac:dyDescent="0.2">
      <c r="A4" t="s">
        <v>3</v>
      </c>
      <c r="B4" t="str">
        <f>IFERROR(VLOOKUP($B$1,Weapons!$A$2:$T$100,7,FALSE),"")</f>
        <v>HT</v>
      </c>
    </row>
    <row r="5" spans="1:4" x14ac:dyDescent="0.2">
      <c r="A5" t="s">
        <v>4</v>
      </c>
      <c r="B5">
        <f>IFERROR(VLOOKUP($B$1,Weapons!$A$2:$T$100,8,FALSE),"")</f>
        <v>10</v>
      </c>
    </row>
    <row r="6" spans="1:4" x14ac:dyDescent="0.2">
      <c r="A6" t="s">
        <v>5</v>
      </c>
      <c r="B6">
        <f>IF($B$4="HT",IFERROR(VLOOKUP($B$2,Weapons!$A$2:$T$100,3,FALSE),""),IF($B$4="HV",IFERROR(VLOOKUP($B$2,Weapons!$A$2:$T$100,5,FALSE),""),""))</f>
        <v>11</v>
      </c>
    </row>
    <row r="7" spans="1:4" x14ac:dyDescent="0.2">
      <c r="A7" t="s">
        <v>6</v>
      </c>
      <c r="B7">
        <f>IF(OR($B$5="",$B$6=""),"", $B$5 - $B$6)</f>
        <v>-1</v>
      </c>
    </row>
    <row r="8" spans="1:4" x14ac:dyDescent="0.2">
      <c r="A8" t="s">
        <v>7</v>
      </c>
      <c r="B8">
        <v>4</v>
      </c>
    </row>
    <row r="9" spans="1:4" x14ac:dyDescent="0.2">
      <c r="A9" t="s">
        <v>8</v>
      </c>
      <c r="B9" s="1">
        <f>IF($B$4="HV",IF(OR($B$7="",$B$8=""),"",INDEX(Kill_Table!$B$3:$G$9,MATCH($B$7,Kill_Table!$A$3:$A$9,1),$B$8)),
IF($B$4="HT",IF(OR($B$7="",$B$8=""),"",INDEX(Kill_Table!$B$12:$G$21,MATCH($B$7,Kill_Table!$A$12:$A$21,1),$B$8)),""))</f>
        <v>0</v>
      </c>
    </row>
    <row r="10" spans="1:4" x14ac:dyDescent="0.2">
      <c r="A10" t="s">
        <v>9</v>
      </c>
      <c r="B10" s="1">
        <f>IF(COUNTA(C15:C31)=0,"",SUMIF(C15:C31,"X",D15:D31))</f>
        <v>0</v>
      </c>
    </row>
    <row r="11" spans="1:4" x14ac:dyDescent="0.2">
      <c r="A11" t="s">
        <v>10</v>
      </c>
      <c r="B11">
        <f>IF($B$9="","",MAX(0,MIN(10,$B$9 - IF($B$10="",0,$B$10))))</f>
        <v>0</v>
      </c>
    </row>
    <row r="12" spans="1:4" x14ac:dyDescent="0.2">
      <c r="A12" t="s">
        <v>11</v>
      </c>
      <c r="B12" s="1">
        <f>IF($B$11="","",$B$11/10)</f>
        <v>0</v>
      </c>
    </row>
    <row r="13" spans="1:4" x14ac:dyDescent="0.2">
      <c r="A13" t="s">
        <v>12</v>
      </c>
      <c r="B13" s="7" t="str">
        <f>IF($B$11="","", "Roll ≤ "&amp;TEXT($B$11,"0")&amp;" to kill ("&amp;TEXT($B$12,"0%")&amp;")")</f>
        <v>Roll ≤ 0 to kill (0%)</v>
      </c>
    </row>
    <row r="14" spans="1:4" x14ac:dyDescent="0.2">
      <c r="A14" t="s">
        <v>13</v>
      </c>
      <c r="B14" t="s">
        <v>14</v>
      </c>
      <c r="C14" t="s">
        <v>15</v>
      </c>
      <c r="D14" t="s">
        <v>16</v>
      </c>
    </row>
    <row r="15" spans="1:4" x14ac:dyDescent="0.2">
      <c r="A15" t="s">
        <v>17</v>
      </c>
      <c r="B15" t="s">
        <v>18</v>
      </c>
      <c r="C15" t="s">
        <v>19</v>
      </c>
      <c r="D15">
        <v>-1</v>
      </c>
    </row>
    <row r="16" spans="1:4" x14ac:dyDescent="0.2">
      <c r="A16" t="s">
        <v>17</v>
      </c>
      <c r="B16" t="s">
        <v>20</v>
      </c>
      <c r="D16">
        <v>1</v>
      </c>
    </row>
    <row r="17" spans="1:4" x14ac:dyDescent="0.2">
      <c r="A17" t="s">
        <v>17</v>
      </c>
      <c r="B17" t="s">
        <v>21</v>
      </c>
      <c r="D17">
        <v>-1</v>
      </c>
    </row>
    <row r="18" spans="1:4" x14ac:dyDescent="0.2">
      <c r="A18" t="s">
        <v>17</v>
      </c>
      <c r="B18" t="s">
        <v>22</v>
      </c>
      <c r="D18">
        <v>-2</v>
      </c>
    </row>
    <row r="19" spans="1:4" x14ac:dyDescent="0.2">
      <c r="A19" t="s">
        <v>17</v>
      </c>
      <c r="B19" t="s">
        <v>23</v>
      </c>
      <c r="D19">
        <v>2</v>
      </c>
    </row>
    <row r="20" spans="1:4" x14ac:dyDescent="0.2">
      <c r="A20" t="s">
        <v>17</v>
      </c>
      <c r="B20" t="s">
        <v>24</v>
      </c>
      <c r="D20">
        <v>1</v>
      </c>
    </row>
    <row r="21" spans="1:4" x14ac:dyDescent="0.2">
      <c r="A21" t="s">
        <v>25</v>
      </c>
      <c r="B21" t="s">
        <v>26</v>
      </c>
      <c r="C21" t="s">
        <v>19</v>
      </c>
      <c r="D21">
        <v>2</v>
      </c>
    </row>
    <row r="22" spans="1:4" x14ac:dyDescent="0.2">
      <c r="A22" t="s">
        <v>25</v>
      </c>
      <c r="B22" t="s">
        <v>27</v>
      </c>
      <c r="D22">
        <v>3</v>
      </c>
    </row>
    <row r="23" spans="1:4" x14ac:dyDescent="0.2">
      <c r="A23" t="s">
        <v>25</v>
      </c>
      <c r="B23" t="s">
        <v>28</v>
      </c>
      <c r="C23" t="s">
        <v>19</v>
      </c>
      <c r="D23">
        <v>3</v>
      </c>
    </row>
    <row r="24" spans="1:4" x14ac:dyDescent="0.2">
      <c r="A24" t="s">
        <v>25</v>
      </c>
      <c r="B24" t="s">
        <v>29</v>
      </c>
      <c r="D24">
        <v>4</v>
      </c>
    </row>
    <row r="25" spans="1:4" x14ac:dyDescent="0.2">
      <c r="A25" t="s">
        <v>25</v>
      </c>
      <c r="B25" t="s">
        <v>30</v>
      </c>
      <c r="C25" t="s">
        <v>19</v>
      </c>
      <c r="D25">
        <v>2</v>
      </c>
    </row>
    <row r="26" spans="1:4" x14ac:dyDescent="0.2">
      <c r="A26" t="s">
        <v>25</v>
      </c>
      <c r="B26" t="s">
        <v>31</v>
      </c>
      <c r="D26">
        <v>-1</v>
      </c>
    </row>
    <row r="27" spans="1:4" x14ac:dyDescent="0.2">
      <c r="A27" t="s">
        <v>25</v>
      </c>
      <c r="B27" t="s">
        <v>32</v>
      </c>
      <c r="C27" t="s">
        <v>19</v>
      </c>
      <c r="D27">
        <v>1</v>
      </c>
    </row>
    <row r="28" spans="1:4" x14ac:dyDescent="0.2">
      <c r="A28" t="s">
        <v>25</v>
      </c>
      <c r="B28" t="s">
        <v>33</v>
      </c>
      <c r="D28">
        <v>-2</v>
      </c>
    </row>
    <row r="29" spans="1:4" x14ac:dyDescent="0.2">
      <c r="A29" t="s">
        <v>25</v>
      </c>
      <c r="B29" t="s">
        <v>34</v>
      </c>
      <c r="D29">
        <v>2</v>
      </c>
    </row>
    <row r="30" spans="1:4" x14ac:dyDescent="0.2">
      <c r="A30" t="s">
        <v>25</v>
      </c>
      <c r="B30" t="s">
        <v>35</v>
      </c>
      <c r="D30">
        <v>3</v>
      </c>
    </row>
    <row r="31" spans="1:4" x14ac:dyDescent="0.2">
      <c r="A31" t="s">
        <v>25</v>
      </c>
      <c r="B31" t="s">
        <v>36</v>
      </c>
    </row>
    <row r="33" spans="1:4" x14ac:dyDescent="0.2">
      <c r="A33" t="s">
        <v>37</v>
      </c>
      <c r="B33">
        <f>B8</f>
        <v>4</v>
      </c>
      <c r="C33" t="s">
        <v>19</v>
      </c>
      <c r="D33">
        <v>1</v>
      </c>
    </row>
    <row r="34" spans="1:4" x14ac:dyDescent="0.2">
      <c r="A34" t="s">
        <v>38</v>
      </c>
      <c r="B34">
        <f>IF($B$4="HV",IF($B$7="","",INDEX(Kill_Table!$A$3:$A$9,MATCH($B$7,Kill_Table!$A$3:$A$9,1))),IF($B$4="HT",IF($B$7="","",INDEX(Kill_Table!$A$12:$A$21,MATCH($B$7,Kill_Table!$A$12:$A$21,1))),""))</f>
        <v>-1</v>
      </c>
      <c r="D34">
        <v>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Weapons!$A$2:$A$100</xm:f>
          </x14:formula1>
          <xm:sqref>B1 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2"/>
  <sheetViews>
    <sheetView zoomScale="142" workbookViewId="0">
      <selection activeCell="I13" sqref="I13"/>
    </sheetView>
  </sheetViews>
  <sheetFormatPr baseColWidth="10" defaultColWidth="8.83203125" defaultRowHeight="15" x14ac:dyDescent="0.2"/>
  <cols>
    <col min="1" max="1" width="14" customWidth="1"/>
    <col min="2" max="4" width="7.1640625" customWidth="1"/>
    <col min="5" max="5" width="12.83203125" customWidth="1"/>
    <col min="6" max="6" width="13.5" customWidth="1"/>
    <col min="7" max="7" width="12.1640625" customWidth="1"/>
    <col min="9" max="14" width="14" customWidth="1"/>
  </cols>
  <sheetData>
    <row r="1" spans="1:32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</row>
    <row r="2" spans="1:32" x14ac:dyDescent="0.2">
      <c r="A2" t="s">
        <v>71</v>
      </c>
      <c r="B2" t="s">
        <v>72</v>
      </c>
      <c r="C2">
        <v>1</v>
      </c>
      <c r="E2">
        <v>1</v>
      </c>
      <c r="G2" t="s">
        <v>73</v>
      </c>
      <c r="H2">
        <v>6</v>
      </c>
      <c r="I2" s="5"/>
      <c r="J2" s="5" t="s">
        <v>74</v>
      </c>
      <c r="K2" s="5" t="s">
        <v>75</v>
      </c>
      <c r="L2" s="5" t="s">
        <v>76</v>
      </c>
      <c r="M2" s="5"/>
      <c r="N2" s="5"/>
      <c r="U2">
        <v>6</v>
      </c>
      <c r="V2">
        <v>6</v>
      </c>
      <c r="AA2">
        <v>6</v>
      </c>
      <c r="AB2">
        <v>22</v>
      </c>
      <c r="AC2">
        <v>23</v>
      </c>
      <c r="AD2">
        <v>33</v>
      </c>
      <c r="AE2">
        <v>34</v>
      </c>
      <c r="AF2">
        <v>42</v>
      </c>
    </row>
    <row r="3" spans="1:32" x14ac:dyDescent="0.2">
      <c r="A3" t="s">
        <v>77</v>
      </c>
      <c r="B3" t="s">
        <v>72</v>
      </c>
      <c r="G3" t="s">
        <v>73</v>
      </c>
      <c r="H3">
        <v>6</v>
      </c>
      <c r="I3" s="6" t="s">
        <v>78</v>
      </c>
      <c r="J3" s="5" t="s">
        <v>79</v>
      </c>
      <c r="K3" s="5"/>
      <c r="L3" s="5" t="s">
        <v>80</v>
      </c>
      <c r="M3" s="5"/>
      <c r="N3" s="5" t="s">
        <v>81</v>
      </c>
      <c r="O3" t="s">
        <v>82</v>
      </c>
      <c r="U3">
        <v>6</v>
      </c>
      <c r="V3">
        <v>6</v>
      </c>
      <c r="Y3">
        <v>0</v>
      </c>
      <c r="Z3">
        <v>0</v>
      </c>
      <c r="AA3">
        <v>1</v>
      </c>
      <c r="AB3">
        <v>1</v>
      </c>
      <c r="AE3">
        <v>2</v>
      </c>
      <c r="AF3">
        <v>2</v>
      </c>
    </row>
    <row r="4" spans="1:32" x14ac:dyDescent="0.2">
      <c r="A4" t="s">
        <v>83</v>
      </c>
      <c r="B4" t="s">
        <v>72</v>
      </c>
      <c r="G4" t="s">
        <v>73</v>
      </c>
      <c r="H4">
        <v>10</v>
      </c>
      <c r="I4" s="6"/>
      <c r="J4" s="5"/>
      <c r="K4" s="5" t="s">
        <v>84</v>
      </c>
      <c r="L4" s="5"/>
      <c r="M4" s="5"/>
      <c r="N4" s="5"/>
      <c r="U4">
        <v>10</v>
      </c>
      <c r="V4">
        <v>10</v>
      </c>
      <c r="AC4">
        <v>3</v>
      </c>
      <c r="AD4">
        <v>10</v>
      </c>
    </row>
    <row r="5" spans="1:32" x14ac:dyDescent="0.2">
      <c r="A5" t="s">
        <v>85</v>
      </c>
      <c r="B5" t="s">
        <v>72</v>
      </c>
      <c r="G5" t="s">
        <v>73</v>
      </c>
      <c r="H5">
        <v>10</v>
      </c>
      <c r="I5" s="6" t="s">
        <v>86</v>
      </c>
      <c r="J5" s="5" t="s">
        <v>87</v>
      </c>
      <c r="K5" s="5" t="s">
        <v>88</v>
      </c>
      <c r="L5" s="5" t="s">
        <v>89</v>
      </c>
      <c r="M5" s="5"/>
      <c r="N5" s="5" t="s">
        <v>90</v>
      </c>
      <c r="U5">
        <v>10</v>
      </c>
      <c r="V5">
        <v>10</v>
      </c>
      <c r="Y5">
        <v>7</v>
      </c>
      <c r="Z5">
        <v>40</v>
      </c>
      <c r="AA5">
        <v>6</v>
      </c>
      <c r="AB5">
        <v>6</v>
      </c>
      <c r="AC5">
        <v>5</v>
      </c>
      <c r="AD5">
        <v>5</v>
      </c>
      <c r="AE5">
        <v>4</v>
      </c>
      <c r="AF5">
        <v>4</v>
      </c>
    </row>
    <row r="6" spans="1:32" x14ac:dyDescent="0.2">
      <c r="A6" t="s">
        <v>91</v>
      </c>
      <c r="B6" t="s">
        <v>72</v>
      </c>
      <c r="G6" t="s">
        <v>73</v>
      </c>
      <c r="H6">
        <v>11</v>
      </c>
      <c r="I6" s="6" t="s">
        <v>92</v>
      </c>
      <c r="J6" s="5" t="s">
        <v>88</v>
      </c>
      <c r="K6" s="5" t="s">
        <v>89</v>
      </c>
      <c r="L6" s="5" t="s">
        <v>80</v>
      </c>
      <c r="M6" s="5"/>
      <c r="N6" s="5"/>
      <c r="U6">
        <v>11</v>
      </c>
      <c r="V6">
        <v>11</v>
      </c>
      <c r="Y6">
        <v>6</v>
      </c>
      <c r="Z6">
        <v>55</v>
      </c>
      <c r="AA6">
        <v>5</v>
      </c>
      <c r="AB6">
        <v>5</v>
      </c>
      <c r="AC6">
        <v>4</v>
      </c>
      <c r="AD6">
        <v>4</v>
      </c>
      <c r="AE6">
        <v>2</v>
      </c>
      <c r="AF6">
        <v>2</v>
      </c>
    </row>
    <row r="7" spans="1:32" x14ac:dyDescent="0.2">
      <c r="A7" t="s">
        <v>93</v>
      </c>
      <c r="B7" t="s">
        <v>72</v>
      </c>
      <c r="G7" t="s">
        <v>73</v>
      </c>
      <c r="H7">
        <v>7</v>
      </c>
      <c r="I7" s="6"/>
      <c r="J7" s="5"/>
      <c r="K7" s="5"/>
      <c r="L7" s="5" t="s">
        <v>94</v>
      </c>
      <c r="M7" s="5" t="s">
        <v>95</v>
      </c>
      <c r="N7" s="5" t="s">
        <v>96</v>
      </c>
      <c r="U7">
        <v>7</v>
      </c>
      <c r="V7">
        <v>7</v>
      </c>
      <c r="AE7">
        <v>0</v>
      </c>
      <c r="AF7">
        <v>20</v>
      </c>
    </row>
    <row r="8" spans="1:32" x14ac:dyDescent="0.2">
      <c r="A8" t="s">
        <v>97</v>
      </c>
      <c r="B8" t="s">
        <v>72</v>
      </c>
      <c r="C8">
        <v>11</v>
      </c>
      <c r="D8">
        <v>4</v>
      </c>
      <c r="E8">
        <v>10</v>
      </c>
      <c r="F8">
        <v>4</v>
      </c>
      <c r="G8" t="s">
        <v>98</v>
      </c>
      <c r="H8">
        <v>11</v>
      </c>
      <c r="I8" s="6" t="s">
        <v>99</v>
      </c>
      <c r="J8" s="5" t="s">
        <v>100</v>
      </c>
      <c r="K8" s="5" t="s">
        <v>101</v>
      </c>
      <c r="L8" s="5" t="s">
        <v>102</v>
      </c>
      <c r="M8" s="5" t="s">
        <v>103</v>
      </c>
      <c r="N8" s="5" t="s">
        <v>104</v>
      </c>
      <c r="O8" t="s">
        <v>105</v>
      </c>
      <c r="W8">
        <v>11</v>
      </c>
      <c r="X8">
        <v>11</v>
      </c>
      <c r="Y8">
        <v>0</v>
      </c>
      <c r="Z8">
        <v>7</v>
      </c>
      <c r="AA8">
        <v>8</v>
      </c>
      <c r="AB8">
        <v>11</v>
      </c>
      <c r="AC8">
        <v>12</v>
      </c>
      <c r="AD8">
        <v>14</v>
      </c>
      <c r="AE8">
        <v>15</v>
      </c>
      <c r="AF8">
        <v>18</v>
      </c>
    </row>
    <row r="9" spans="1:32" x14ac:dyDescent="0.2">
      <c r="A9" t="s">
        <v>106</v>
      </c>
      <c r="B9" t="s">
        <v>72</v>
      </c>
      <c r="C9">
        <v>7</v>
      </c>
      <c r="D9">
        <v>2</v>
      </c>
      <c r="E9">
        <v>6</v>
      </c>
      <c r="F9">
        <v>2</v>
      </c>
      <c r="G9" t="s">
        <v>98</v>
      </c>
      <c r="H9">
        <v>7</v>
      </c>
      <c r="I9" s="6" t="s">
        <v>107</v>
      </c>
      <c r="J9" s="5" t="s">
        <v>108</v>
      </c>
      <c r="K9" s="5" t="s">
        <v>109</v>
      </c>
      <c r="L9" s="5" t="s">
        <v>110</v>
      </c>
      <c r="M9" s="5" t="s">
        <v>101</v>
      </c>
      <c r="N9" s="5" t="s">
        <v>102</v>
      </c>
      <c r="O9" t="s">
        <v>111</v>
      </c>
      <c r="W9">
        <v>7</v>
      </c>
      <c r="X9">
        <v>7</v>
      </c>
      <c r="Y9">
        <v>0</v>
      </c>
      <c r="Z9">
        <v>5</v>
      </c>
      <c r="AA9">
        <v>6</v>
      </c>
      <c r="AB9">
        <v>7</v>
      </c>
      <c r="AC9">
        <v>8</v>
      </c>
      <c r="AD9">
        <v>9</v>
      </c>
      <c r="AE9">
        <v>10</v>
      </c>
      <c r="AF9">
        <v>11</v>
      </c>
    </row>
    <row r="10" spans="1:32" x14ac:dyDescent="0.2">
      <c r="A10" t="s">
        <v>112</v>
      </c>
      <c r="B10" t="s">
        <v>72</v>
      </c>
      <c r="C10">
        <v>2</v>
      </c>
      <c r="D10">
        <v>1</v>
      </c>
      <c r="E10">
        <v>2</v>
      </c>
      <c r="F10">
        <v>1</v>
      </c>
      <c r="G10" t="s">
        <v>98</v>
      </c>
      <c r="H10">
        <v>4</v>
      </c>
      <c r="I10" s="6" t="s">
        <v>107</v>
      </c>
      <c r="J10" s="5" t="s">
        <v>108</v>
      </c>
      <c r="K10" s="5" t="s">
        <v>109</v>
      </c>
      <c r="L10" s="5" t="s">
        <v>110</v>
      </c>
      <c r="M10" s="5" t="s">
        <v>101</v>
      </c>
      <c r="N10" s="5" t="s">
        <v>102</v>
      </c>
      <c r="O10" t="s">
        <v>111</v>
      </c>
      <c r="W10">
        <v>4</v>
      </c>
      <c r="X10">
        <v>4</v>
      </c>
      <c r="Y10">
        <v>0</v>
      </c>
      <c r="Z10">
        <v>5</v>
      </c>
      <c r="AA10">
        <v>6</v>
      </c>
      <c r="AB10">
        <v>7</v>
      </c>
      <c r="AC10">
        <v>8</v>
      </c>
      <c r="AD10">
        <v>9</v>
      </c>
      <c r="AE10">
        <v>10</v>
      </c>
      <c r="AF10">
        <v>11</v>
      </c>
    </row>
    <row r="11" spans="1:32" x14ac:dyDescent="0.2">
      <c r="A11" t="s">
        <v>113</v>
      </c>
      <c r="B11" t="s">
        <v>72</v>
      </c>
      <c r="C11">
        <v>9</v>
      </c>
      <c r="D11">
        <v>3</v>
      </c>
      <c r="E11">
        <v>9</v>
      </c>
      <c r="F11">
        <v>3</v>
      </c>
      <c r="G11" t="s">
        <v>98</v>
      </c>
      <c r="H11">
        <v>8</v>
      </c>
      <c r="I11" s="6" t="s">
        <v>114</v>
      </c>
      <c r="J11" s="5" t="s">
        <v>115</v>
      </c>
      <c r="K11" s="5" t="s">
        <v>110</v>
      </c>
      <c r="L11" s="5" t="s">
        <v>116</v>
      </c>
      <c r="M11" s="5" t="s">
        <v>117</v>
      </c>
      <c r="N11" s="5" t="s">
        <v>118</v>
      </c>
      <c r="O11" t="s">
        <v>119</v>
      </c>
      <c r="W11">
        <v>8</v>
      </c>
      <c r="X11">
        <v>8</v>
      </c>
      <c r="Y11">
        <v>0</v>
      </c>
      <c r="Z11">
        <v>6</v>
      </c>
      <c r="AA11">
        <v>7</v>
      </c>
      <c r="AB11">
        <v>9</v>
      </c>
      <c r="AC11">
        <v>10</v>
      </c>
      <c r="AD11">
        <v>11</v>
      </c>
      <c r="AE11">
        <v>12</v>
      </c>
      <c r="AF11">
        <v>13</v>
      </c>
    </row>
    <row r="14" spans="1:32" x14ac:dyDescent="0.2">
      <c r="G14" t="s">
        <v>73</v>
      </c>
      <c r="I14" t="s">
        <v>120</v>
      </c>
      <c r="J14" t="s">
        <v>121</v>
      </c>
      <c r="K14" t="s">
        <v>122</v>
      </c>
      <c r="L14" t="s">
        <v>123</v>
      </c>
      <c r="M14" t="s">
        <v>124</v>
      </c>
      <c r="N14" t="s">
        <v>125</v>
      </c>
      <c r="O14" t="s">
        <v>53</v>
      </c>
      <c r="P14" t="s">
        <v>126</v>
      </c>
      <c r="Q14" t="s">
        <v>55</v>
      </c>
      <c r="R14" t="s">
        <v>56</v>
      </c>
    </row>
    <row r="15" spans="1:32" x14ac:dyDescent="0.2">
      <c r="A15" t="s">
        <v>71</v>
      </c>
      <c r="B15" t="s">
        <v>127</v>
      </c>
      <c r="G15" t="s">
        <v>73</v>
      </c>
      <c r="H15">
        <v>6</v>
      </c>
      <c r="K15" t="s">
        <v>128</v>
      </c>
      <c r="L15" t="s">
        <v>129</v>
      </c>
      <c r="M15" t="s">
        <v>130</v>
      </c>
      <c r="U15">
        <v>6</v>
      </c>
      <c r="V15">
        <v>6</v>
      </c>
      <c r="AC15">
        <v>6</v>
      </c>
      <c r="AD15">
        <v>20</v>
      </c>
      <c r="AE15">
        <v>21</v>
      </c>
      <c r="AF15">
        <v>30</v>
      </c>
    </row>
    <row r="16" spans="1:32" x14ac:dyDescent="0.2">
      <c r="A16" t="s">
        <v>131</v>
      </c>
      <c r="B16" t="s">
        <v>127</v>
      </c>
      <c r="G16" t="s">
        <v>73</v>
      </c>
      <c r="H16">
        <v>6</v>
      </c>
      <c r="I16">
        <v>0</v>
      </c>
      <c r="J16">
        <v>1</v>
      </c>
      <c r="K16">
        <v>2</v>
      </c>
      <c r="L16">
        <v>3</v>
      </c>
      <c r="M16">
        <v>4</v>
      </c>
      <c r="U16">
        <v>6</v>
      </c>
      <c r="V16">
        <v>6</v>
      </c>
      <c r="Y16">
        <v>0</v>
      </c>
      <c r="Z16">
        <v>0</v>
      </c>
      <c r="AA16">
        <v>1</v>
      </c>
      <c r="AB16">
        <v>1</v>
      </c>
      <c r="AC16">
        <v>2</v>
      </c>
      <c r="AD16">
        <v>2</v>
      </c>
      <c r="AE16">
        <v>3</v>
      </c>
      <c r="AF16">
        <v>3</v>
      </c>
    </row>
    <row r="17" spans="1:32" x14ac:dyDescent="0.2">
      <c r="A17" t="s">
        <v>132</v>
      </c>
      <c r="B17" t="s">
        <v>127</v>
      </c>
      <c r="G17" t="s">
        <v>73</v>
      </c>
      <c r="H17">
        <v>10</v>
      </c>
      <c r="I17" t="s">
        <v>133</v>
      </c>
      <c r="K17" t="s">
        <v>134</v>
      </c>
      <c r="L17" t="s">
        <v>135</v>
      </c>
      <c r="N17">
        <v>6</v>
      </c>
      <c r="P17">
        <v>5</v>
      </c>
      <c r="Q17">
        <v>5</v>
      </c>
      <c r="R17">
        <v>4</v>
      </c>
      <c r="U17">
        <v>10</v>
      </c>
      <c r="V17">
        <v>10</v>
      </c>
      <c r="Y17">
        <v>12</v>
      </c>
      <c r="Z17">
        <v>37</v>
      </c>
      <c r="AC17">
        <v>9</v>
      </c>
      <c r="AD17">
        <v>11</v>
      </c>
      <c r="AE17">
        <v>7</v>
      </c>
      <c r="AF17">
        <v>8</v>
      </c>
    </row>
    <row r="18" spans="1:32" x14ac:dyDescent="0.2">
      <c r="A18" t="s">
        <v>136</v>
      </c>
      <c r="B18" t="s">
        <v>127</v>
      </c>
      <c r="G18" t="s">
        <v>73</v>
      </c>
      <c r="H18">
        <v>9</v>
      </c>
      <c r="I18" t="s">
        <v>137</v>
      </c>
      <c r="J18" t="s">
        <v>81</v>
      </c>
      <c r="L18">
        <v>2</v>
      </c>
      <c r="M18">
        <v>1</v>
      </c>
      <c r="U18">
        <v>9</v>
      </c>
      <c r="V18">
        <v>9</v>
      </c>
      <c r="Y18">
        <v>4</v>
      </c>
      <c r="Z18">
        <v>40</v>
      </c>
      <c r="AA18">
        <v>3</v>
      </c>
      <c r="AB18">
        <v>3</v>
      </c>
      <c r="AE18">
        <v>2</v>
      </c>
      <c r="AF18">
        <v>2</v>
      </c>
    </row>
    <row r="19" spans="1:32" x14ac:dyDescent="0.2">
      <c r="A19" t="s">
        <v>138</v>
      </c>
      <c r="B19" t="s">
        <v>127</v>
      </c>
      <c r="G19" t="s">
        <v>73</v>
      </c>
      <c r="H19">
        <v>8</v>
      </c>
      <c r="I19" t="s">
        <v>139</v>
      </c>
      <c r="J19" t="s">
        <v>81</v>
      </c>
      <c r="K19" t="s">
        <v>80</v>
      </c>
      <c r="L19" t="s">
        <v>79</v>
      </c>
      <c r="U19">
        <v>8</v>
      </c>
      <c r="V19">
        <v>8</v>
      </c>
      <c r="Y19">
        <v>4</v>
      </c>
      <c r="Z19">
        <v>25</v>
      </c>
      <c r="AA19">
        <v>3</v>
      </c>
      <c r="AB19">
        <v>3</v>
      </c>
      <c r="AC19">
        <v>2</v>
      </c>
      <c r="AD19">
        <v>2</v>
      </c>
      <c r="AE19">
        <v>1</v>
      </c>
      <c r="AF19">
        <v>1</v>
      </c>
    </row>
    <row r="20" spans="1:32" x14ac:dyDescent="0.2">
      <c r="A20" t="s">
        <v>140</v>
      </c>
      <c r="B20" t="s">
        <v>127</v>
      </c>
      <c r="G20" t="s">
        <v>73</v>
      </c>
      <c r="H20">
        <v>8</v>
      </c>
      <c r="I20" t="s">
        <v>141</v>
      </c>
      <c r="J20" t="s">
        <v>135</v>
      </c>
      <c r="K20" t="s">
        <v>87</v>
      </c>
      <c r="U20">
        <v>8</v>
      </c>
      <c r="V20">
        <v>8</v>
      </c>
      <c r="Y20">
        <v>9</v>
      </c>
      <c r="Z20">
        <v>55</v>
      </c>
      <c r="AA20">
        <v>7</v>
      </c>
      <c r="AB20">
        <v>8</v>
      </c>
      <c r="AC20">
        <v>6</v>
      </c>
      <c r="AD20">
        <v>6</v>
      </c>
    </row>
    <row r="21" spans="1:32" x14ac:dyDescent="0.2">
      <c r="A21" t="s">
        <v>142</v>
      </c>
      <c r="B21" t="s">
        <v>127</v>
      </c>
      <c r="G21" t="s">
        <v>73</v>
      </c>
      <c r="H21">
        <v>8</v>
      </c>
      <c r="N21" t="s">
        <v>143</v>
      </c>
      <c r="O21" t="s">
        <v>144</v>
      </c>
      <c r="U21">
        <v>8</v>
      </c>
      <c r="V21">
        <v>8</v>
      </c>
    </row>
    <row r="22" spans="1:32" x14ac:dyDescent="0.2">
      <c r="A22" t="s">
        <v>145</v>
      </c>
      <c r="B22" t="s">
        <v>127</v>
      </c>
      <c r="G22" t="s">
        <v>146</v>
      </c>
      <c r="H22">
        <v>6</v>
      </c>
      <c r="I22" t="s">
        <v>78</v>
      </c>
      <c r="J22" t="s">
        <v>147</v>
      </c>
      <c r="K22" t="s">
        <v>82</v>
      </c>
      <c r="L22" t="s">
        <v>87</v>
      </c>
      <c r="M22" t="s">
        <v>148</v>
      </c>
      <c r="N22">
        <v>8</v>
      </c>
      <c r="O22">
        <v>9</v>
      </c>
      <c r="P22">
        <v>10</v>
      </c>
      <c r="U22">
        <v>6</v>
      </c>
      <c r="V22">
        <v>6</v>
      </c>
      <c r="Y22">
        <v>0</v>
      </c>
      <c r="Z22">
        <v>0</v>
      </c>
      <c r="AA22">
        <v>1</v>
      </c>
      <c r="AB22">
        <v>3</v>
      </c>
      <c r="AC22">
        <v>4</v>
      </c>
      <c r="AD22">
        <v>5</v>
      </c>
      <c r="AE22">
        <v>6</v>
      </c>
      <c r="AF22">
        <v>6</v>
      </c>
    </row>
    <row r="23" spans="1:32" x14ac:dyDescent="0.2">
      <c r="A23" t="s">
        <v>149</v>
      </c>
      <c r="B23" t="s">
        <v>127</v>
      </c>
      <c r="G23" t="s">
        <v>73</v>
      </c>
      <c r="H23">
        <v>9</v>
      </c>
      <c r="I23" t="s">
        <v>150</v>
      </c>
      <c r="J23">
        <v>5</v>
      </c>
      <c r="K23">
        <v>6</v>
      </c>
      <c r="L23">
        <v>7</v>
      </c>
      <c r="M23">
        <v>8</v>
      </c>
      <c r="N23">
        <v>9</v>
      </c>
      <c r="O23">
        <v>10</v>
      </c>
      <c r="P23">
        <v>11</v>
      </c>
      <c r="Q23">
        <v>12</v>
      </c>
      <c r="R23">
        <v>13</v>
      </c>
      <c r="U23">
        <v>9</v>
      </c>
      <c r="V23">
        <v>9</v>
      </c>
      <c r="Y23">
        <v>0</v>
      </c>
      <c r="Z23">
        <v>4</v>
      </c>
      <c r="AA23">
        <v>5</v>
      </c>
      <c r="AB23">
        <v>5</v>
      </c>
      <c r="AC23">
        <v>6</v>
      </c>
      <c r="AD23">
        <v>6</v>
      </c>
      <c r="AE23">
        <v>7</v>
      </c>
      <c r="AF23">
        <v>7</v>
      </c>
    </row>
    <row r="24" spans="1:32" x14ac:dyDescent="0.2">
      <c r="A24" t="s">
        <v>151</v>
      </c>
      <c r="B24" t="s">
        <v>127</v>
      </c>
      <c r="C24">
        <v>4</v>
      </c>
      <c r="D24">
        <v>2</v>
      </c>
      <c r="E24">
        <v>4</v>
      </c>
      <c r="F24">
        <v>2</v>
      </c>
      <c r="G24" t="s">
        <v>98</v>
      </c>
      <c r="H24">
        <v>5</v>
      </c>
      <c r="I24" t="s">
        <v>150</v>
      </c>
      <c r="J24">
        <v>5</v>
      </c>
      <c r="K24">
        <v>6</v>
      </c>
      <c r="L24">
        <v>7</v>
      </c>
      <c r="M24">
        <v>8</v>
      </c>
      <c r="N24">
        <v>9</v>
      </c>
      <c r="O24">
        <v>10</v>
      </c>
      <c r="P24">
        <v>11</v>
      </c>
      <c r="Q24">
        <v>12</v>
      </c>
      <c r="R24">
        <v>13</v>
      </c>
      <c r="W24">
        <v>5</v>
      </c>
      <c r="X24">
        <v>5</v>
      </c>
      <c r="Y24">
        <v>0</v>
      </c>
      <c r="Z24">
        <v>4</v>
      </c>
      <c r="AA24">
        <v>5</v>
      </c>
      <c r="AB24">
        <v>5</v>
      </c>
      <c r="AC24">
        <v>6</v>
      </c>
      <c r="AD24">
        <v>6</v>
      </c>
      <c r="AE24">
        <v>7</v>
      </c>
      <c r="AF24">
        <v>7</v>
      </c>
    </row>
    <row r="25" spans="1:32" x14ac:dyDescent="0.2">
      <c r="A25" t="s">
        <v>152</v>
      </c>
      <c r="B25" t="s">
        <v>127</v>
      </c>
      <c r="C25">
        <v>4</v>
      </c>
      <c r="D25">
        <v>2</v>
      </c>
      <c r="E25">
        <v>4</v>
      </c>
      <c r="F25">
        <v>2</v>
      </c>
      <c r="G25" t="s">
        <v>98</v>
      </c>
      <c r="H25">
        <v>5</v>
      </c>
      <c r="I25" t="s">
        <v>150</v>
      </c>
      <c r="J25" t="s">
        <v>153</v>
      </c>
      <c r="K25" t="s">
        <v>135</v>
      </c>
      <c r="L25" t="s">
        <v>154</v>
      </c>
      <c r="M25" t="s">
        <v>155</v>
      </c>
      <c r="N25" t="s">
        <v>156</v>
      </c>
      <c r="O25" t="s">
        <v>156</v>
      </c>
      <c r="P25" t="s">
        <v>157</v>
      </c>
      <c r="Q25" t="s">
        <v>158</v>
      </c>
      <c r="W25">
        <v>5</v>
      </c>
      <c r="X25">
        <v>5</v>
      </c>
      <c r="Y25">
        <v>0</v>
      </c>
      <c r="Z25">
        <v>4</v>
      </c>
      <c r="AA25">
        <v>5</v>
      </c>
      <c r="AB25">
        <v>6</v>
      </c>
      <c r="AC25">
        <v>7</v>
      </c>
      <c r="AD25">
        <v>8</v>
      </c>
      <c r="AE25">
        <v>9</v>
      </c>
      <c r="AF25">
        <v>10</v>
      </c>
    </row>
    <row r="26" spans="1:32" x14ac:dyDescent="0.2">
      <c r="A26" t="s">
        <v>159</v>
      </c>
      <c r="B26" t="s">
        <v>127</v>
      </c>
      <c r="G26" t="s">
        <v>98</v>
      </c>
      <c r="H26">
        <v>6</v>
      </c>
      <c r="I26" t="s">
        <v>150</v>
      </c>
      <c r="J26" t="s">
        <v>153</v>
      </c>
      <c r="K26" t="s">
        <v>135</v>
      </c>
      <c r="L26" t="s">
        <v>154</v>
      </c>
      <c r="M26" t="s">
        <v>155</v>
      </c>
      <c r="N26" t="s">
        <v>156</v>
      </c>
      <c r="O26" t="s">
        <v>156</v>
      </c>
      <c r="P26" t="s">
        <v>157</v>
      </c>
      <c r="Q26" t="s">
        <v>158</v>
      </c>
      <c r="W26">
        <v>6</v>
      </c>
      <c r="X26">
        <v>6</v>
      </c>
      <c r="Y26">
        <v>0</v>
      </c>
      <c r="Z26">
        <v>4</v>
      </c>
      <c r="AA26">
        <v>5</v>
      </c>
      <c r="AB26">
        <v>6</v>
      </c>
      <c r="AC26">
        <v>7</v>
      </c>
      <c r="AD26">
        <v>8</v>
      </c>
      <c r="AE26">
        <v>9</v>
      </c>
      <c r="AF26">
        <v>10</v>
      </c>
    </row>
    <row r="27" spans="1:32" x14ac:dyDescent="0.2">
      <c r="A27" t="s">
        <v>160</v>
      </c>
      <c r="B27" t="s">
        <v>127</v>
      </c>
      <c r="G27" t="s">
        <v>98</v>
      </c>
      <c r="H27">
        <v>2</v>
      </c>
      <c r="J27">
        <v>0</v>
      </c>
      <c r="K27">
        <v>1</v>
      </c>
      <c r="L27">
        <v>2</v>
      </c>
      <c r="M27">
        <v>3</v>
      </c>
      <c r="N27">
        <v>4</v>
      </c>
      <c r="O27">
        <v>5</v>
      </c>
      <c r="P27">
        <v>6</v>
      </c>
      <c r="Q27">
        <v>7</v>
      </c>
      <c r="R27">
        <v>8</v>
      </c>
      <c r="W27">
        <v>2</v>
      </c>
      <c r="X27">
        <v>2</v>
      </c>
      <c r="AA27">
        <v>0</v>
      </c>
      <c r="AB27">
        <v>0</v>
      </c>
      <c r="AC27">
        <v>1</v>
      </c>
      <c r="AD27">
        <v>1</v>
      </c>
      <c r="AE27">
        <v>2</v>
      </c>
      <c r="AF27">
        <v>2</v>
      </c>
    </row>
    <row r="28" spans="1:32" x14ac:dyDescent="0.2">
      <c r="A28" t="s">
        <v>161</v>
      </c>
      <c r="B28" t="s">
        <v>127</v>
      </c>
      <c r="C28">
        <v>2</v>
      </c>
      <c r="D28">
        <v>1</v>
      </c>
      <c r="E28">
        <v>2</v>
      </c>
      <c r="F28">
        <v>1</v>
      </c>
      <c r="G28" t="s">
        <v>98</v>
      </c>
      <c r="H28">
        <v>4</v>
      </c>
      <c r="I28" t="s">
        <v>150</v>
      </c>
      <c r="J28" t="s">
        <v>153</v>
      </c>
      <c r="K28" t="s">
        <v>135</v>
      </c>
      <c r="L28" t="s">
        <v>154</v>
      </c>
      <c r="M28" t="s">
        <v>155</v>
      </c>
      <c r="N28" t="s">
        <v>156</v>
      </c>
      <c r="O28" t="s">
        <v>157</v>
      </c>
      <c r="P28" s="2" t="s">
        <v>158</v>
      </c>
      <c r="W28">
        <v>4</v>
      </c>
      <c r="X28">
        <v>4</v>
      </c>
      <c r="Y28">
        <v>0</v>
      </c>
      <c r="Z28">
        <v>4</v>
      </c>
      <c r="AA28">
        <v>5</v>
      </c>
      <c r="AB28">
        <v>6</v>
      </c>
      <c r="AC28">
        <v>7</v>
      </c>
      <c r="AD28">
        <v>8</v>
      </c>
      <c r="AE28">
        <v>9</v>
      </c>
      <c r="AF28">
        <v>10</v>
      </c>
    </row>
    <row r="29" spans="1:32" x14ac:dyDescent="0.2">
      <c r="A29" t="s">
        <v>162</v>
      </c>
      <c r="B29" t="s">
        <v>127</v>
      </c>
      <c r="G29" t="s">
        <v>98</v>
      </c>
      <c r="H29">
        <v>6</v>
      </c>
      <c r="I29" t="s">
        <v>163</v>
      </c>
      <c r="J29" t="s">
        <v>81</v>
      </c>
      <c r="K29" t="s">
        <v>89</v>
      </c>
      <c r="L29" t="s">
        <v>153</v>
      </c>
      <c r="M29" t="s">
        <v>135</v>
      </c>
      <c r="N29">
        <v>9</v>
      </c>
      <c r="O29">
        <v>10</v>
      </c>
      <c r="P29">
        <v>11</v>
      </c>
      <c r="Q29">
        <v>12</v>
      </c>
      <c r="R29">
        <v>13</v>
      </c>
      <c r="W29">
        <v>6</v>
      </c>
      <c r="X29">
        <v>6</v>
      </c>
      <c r="Y29">
        <v>0</v>
      </c>
      <c r="Z29">
        <v>2</v>
      </c>
      <c r="AA29">
        <v>3</v>
      </c>
      <c r="AB29">
        <v>3</v>
      </c>
      <c r="AC29">
        <v>4</v>
      </c>
      <c r="AD29">
        <v>4</v>
      </c>
      <c r="AE29">
        <v>5</v>
      </c>
      <c r="AF29">
        <v>6</v>
      </c>
    </row>
    <row r="30" spans="1:32" x14ac:dyDescent="0.2">
      <c r="A30" t="s">
        <v>164</v>
      </c>
      <c r="B30" t="s">
        <v>127</v>
      </c>
      <c r="C30">
        <v>11</v>
      </c>
      <c r="D30">
        <v>4</v>
      </c>
      <c r="E30">
        <v>10</v>
      </c>
      <c r="F30">
        <v>4</v>
      </c>
      <c r="G30" t="s">
        <v>98</v>
      </c>
      <c r="H30">
        <v>10</v>
      </c>
      <c r="I30" t="s">
        <v>99</v>
      </c>
      <c r="J30" t="s">
        <v>100</v>
      </c>
      <c r="K30" t="s">
        <v>101</v>
      </c>
      <c r="L30" t="s">
        <v>165</v>
      </c>
      <c r="M30" t="s">
        <v>166</v>
      </c>
      <c r="N30" t="s">
        <v>167</v>
      </c>
      <c r="O30" t="s">
        <v>168</v>
      </c>
      <c r="P30" t="s">
        <v>169</v>
      </c>
      <c r="W30">
        <v>10</v>
      </c>
      <c r="X30">
        <v>10</v>
      </c>
      <c r="Y30">
        <v>0</v>
      </c>
      <c r="Z30">
        <v>7</v>
      </c>
      <c r="AA30">
        <v>8</v>
      </c>
      <c r="AB30">
        <v>11</v>
      </c>
      <c r="AC30">
        <v>12</v>
      </c>
      <c r="AD30">
        <v>14</v>
      </c>
      <c r="AE30">
        <v>15</v>
      </c>
      <c r="AF30">
        <v>16</v>
      </c>
    </row>
    <row r="31" spans="1:32" x14ac:dyDescent="0.2">
      <c r="A31" t="s">
        <v>170</v>
      </c>
      <c r="B31" t="s">
        <v>127</v>
      </c>
      <c r="C31">
        <v>11</v>
      </c>
      <c r="D31">
        <v>4</v>
      </c>
      <c r="E31">
        <v>10</v>
      </c>
      <c r="F31">
        <v>4</v>
      </c>
      <c r="G31" t="s">
        <v>98</v>
      </c>
      <c r="H31">
        <v>9</v>
      </c>
      <c r="I31" t="s">
        <v>99</v>
      </c>
      <c r="J31" t="s">
        <v>100</v>
      </c>
      <c r="K31" t="s">
        <v>101</v>
      </c>
      <c r="L31" t="s">
        <v>165</v>
      </c>
      <c r="M31" t="s">
        <v>166</v>
      </c>
      <c r="N31" t="s">
        <v>167</v>
      </c>
      <c r="O31" t="s">
        <v>168</v>
      </c>
      <c r="P31" t="s">
        <v>169</v>
      </c>
      <c r="W31">
        <v>9</v>
      </c>
      <c r="X31">
        <v>9</v>
      </c>
      <c r="Y31">
        <v>0</v>
      </c>
      <c r="Z31">
        <v>7</v>
      </c>
      <c r="AA31">
        <v>8</v>
      </c>
      <c r="AB31">
        <v>11</v>
      </c>
      <c r="AC31">
        <v>12</v>
      </c>
      <c r="AD31">
        <v>14</v>
      </c>
      <c r="AE31">
        <v>15</v>
      </c>
      <c r="AF31">
        <v>16</v>
      </c>
    </row>
    <row r="32" spans="1:32" x14ac:dyDescent="0.2">
      <c r="A32" t="s">
        <v>171</v>
      </c>
      <c r="B32" t="s">
        <v>127</v>
      </c>
      <c r="C32">
        <v>9</v>
      </c>
      <c r="D32">
        <v>3</v>
      </c>
      <c r="E32">
        <v>9</v>
      </c>
      <c r="F32">
        <v>3</v>
      </c>
      <c r="G32" t="s">
        <v>98</v>
      </c>
      <c r="H32">
        <v>8</v>
      </c>
      <c r="I32" t="s">
        <v>107</v>
      </c>
      <c r="J32" t="s">
        <v>108</v>
      </c>
      <c r="K32" t="s">
        <v>109</v>
      </c>
      <c r="L32" t="s">
        <v>172</v>
      </c>
      <c r="M32" t="s">
        <v>155</v>
      </c>
      <c r="N32" t="s">
        <v>156</v>
      </c>
      <c r="O32" t="s">
        <v>157</v>
      </c>
      <c r="P32" t="s">
        <v>158</v>
      </c>
      <c r="W32">
        <v>8</v>
      </c>
      <c r="X32">
        <v>8</v>
      </c>
      <c r="Y32">
        <v>0</v>
      </c>
      <c r="Z32">
        <v>5</v>
      </c>
      <c r="AA32">
        <v>6</v>
      </c>
      <c r="AB32">
        <v>7</v>
      </c>
      <c r="AC32">
        <v>8</v>
      </c>
      <c r="AD32">
        <v>9</v>
      </c>
      <c r="AE32">
        <v>10</v>
      </c>
      <c r="AF3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selection activeCell="A9" sqref="A9"/>
    </sheetView>
  </sheetViews>
  <sheetFormatPr baseColWidth="10" defaultColWidth="8.83203125" defaultRowHeight="15" x14ac:dyDescent="0.2"/>
  <cols>
    <col min="1" max="6" width="14" customWidth="1"/>
  </cols>
  <sheetData>
    <row r="1" spans="1:11" x14ac:dyDescent="0.2">
      <c r="A1" t="s">
        <v>173</v>
      </c>
    </row>
    <row r="2" spans="1:11" x14ac:dyDescent="0.2">
      <c r="A2" t="s">
        <v>174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53</v>
      </c>
      <c r="I2" t="s">
        <v>126</v>
      </c>
      <c r="J2" t="s">
        <v>55</v>
      </c>
      <c r="K2" t="s">
        <v>56</v>
      </c>
    </row>
    <row r="3" spans="1:11" x14ac:dyDescent="0.2">
      <c r="A3">
        <v>-1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>
        <v>0</v>
      </c>
      <c r="B4">
        <v>2</v>
      </c>
      <c r="C4">
        <v>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</row>
    <row r="5" spans="1:11" x14ac:dyDescent="0.2">
      <c r="A5">
        <v>1</v>
      </c>
      <c r="B5">
        <v>4</v>
      </c>
      <c r="C5">
        <v>3</v>
      </c>
      <c r="D5">
        <v>3</v>
      </c>
      <c r="E5">
        <v>2</v>
      </c>
      <c r="F5">
        <v>2</v>
      </c>
      <c r="G5">
        <v>2</v>
      </c>
      <c r="H5">
        <v>1</v>
      </c>
      <c r="I5">
        <v>1</v>
      </c>
      <c r="J5">
        <v>1</v>
      </c>
      <c r="K5">
        <v>0</v>
      </c>
    </row>
    <row r="6" spans="1:11" x14ac:dyDescent="0.2">
      <c r="A6">
        <v>2</v>
      </c>
      <c r="B6">
        <v>6</v>
      </c>
      <c r="C6">
        <v>6</v>
      </c>
      <c r="D6">
        <v>5</v>
      </c>
      <c r="E6">
        <v>4</v>
      </c>
      <c r="F6">
        <v>4</v>
      </c>
      <c r="G6">
        <v>3</v>
      </c>
      <c r="H6">
        <v>2</v>
      </c>
      <c r="I6">
        <v>1</v>
      </c>
      <c r="J6">
        <v>1</v>
      </c>
      <c r="K6">
        <v>0</v>
      </c>
    </row>
    <row r="7" spans="1:11" x14ac:dyDescent="0.2">
      <c r="A7">
        <v>3</v>
      </c>
      <c r="B7">
        <v>8</v>
      </c>
      <c r="C7">
        <v>7</v>
      </c>
      <c r="D7">
        <v>6</v>
      </c>
      <c r="E7">
        <v>5</v>
      </c>
      <c r="F7">
        <v>4</v>
      </c>
      <c r="G7">
        <v>3</v>
      </c>
      <c r="H7">
        <v>3</v>
      </c>
      <c r="I7">
        <v>2</v>
      </c>
      <c r="J7">
        <v>1</v>
      </c>
      <c r="K7">
        <v>1</v>
      </c>
    </row>
    <row r="8" spans="1:11" x14ac:dyDescent="0.2">
      <c r="A8">
        <v>4</v>
      </c>
      <c r="B8">
        <v>8</v>
      </c>
      <c r="C8">
        <v>7</v>
      </c>
      <c r="D8">
        <v>6</v>
      </c>
      <c r="E8">
        <v>5</v>
      </c>
      <c r="F8">
        <v>5</v>
      </c>
      <c r="G8">
        <v>4</v>
      </c>
      <c r="H8">
        <v>3</v>
      </c>
      <c r="I8">
        <v>2</v>
      </c>
      <c r="J8">
        <v>1</v>
      </c>
      <c r="K8">
        <v>1</v>
      </c>
    </row>
    <row r="9" spans="1:11" x14ac:dyDescent="0.2">
      <c r="A9" s="4" t="s">
        <v>175</v>
      </c>
      <c r="B9">
        <v>9</v>
      </c>
      <c r="C9">
        <v>8</v>
      </c>
      <c r="D9">
        <v>7</v>
      </c>
      <c r="E9">
        <v>6</v>
      </c>
      <c r="F9">
        <v>5</v>
      </c>
      <c r="G9">
        <v>4</v>
      </c>
      <c r="H9">
        <v>3</v>
      </c>
      <c r="I9">
        <v>2</v>
      </c>
      <c r="J9">
        <v>1</v>
      </c>
      <c r="K9">
        <v>1</v>
      </c>
    </row>
    <row r="10" spans="1:11" x14ac:dyDescent="0.2">
      <c r="A10" t="s">
        <v>176</v>
      </c>
    </row>
    <row r="11" spans="1:11" x14ac:dyDescent="0.2">
      <c r="A11" t="s">
        <v>174</v>
      </c>
    </row>
    <row r="12" spans="1:11" x14ac:dyDescent="0.2">
      <c r="A12">
        <v>-1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>
        <v>0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>
        <v>1</v>
      </c>
      <c r="B14">
        <v>2</v>
      </c>
      <c r="C14">
        <v>2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</row>
    <row r="15" spans="1:11" x14ac:dyDescent="0.2">
      <c r="A15">
        <v>2</v>
      </c>
      <c r="B15">
        <v>4</v>
      </c>
      <c r="C15">
        <v>3</v>
      </c>
      <c r="D15">
        <v>3</v>
      </c>
      <c r="E15">
        <v>2</v>
      </c>
      <c r="F15">
        <v>2</v>
      </c>
      <c r="G15">
        <v>2</v>
      </c>
      <c r="H15">
        <v>1</v>
      </c>
      <c r="I15">
        <v>1</v>
      </c>
      <c r="J15">
        <v>1</v>
      </c>
      <c r="K15">
        <v>0</v>
      </c>
    </row>
    <row r="16" spans="1:11" x14ac:dyDescent="0.2">
      <c r="A16">
        <v>3</v>
      </c>
      <c r="B16">
        <v>5</v>
      </c>
      <c r="C16">
        <v>5</v>
      </c>
      <c r="D16">
        <v>4</v>
      </c>
      <c r="E16">
        <v>4</v>
      </c>
      <c r="F16">
        <v>3</v>
      </c>
      <c r="G16">
        <v>2</v>
      </c>
      <c r="H16">
        <v>2</v>
      </c>
      <c r="I16">
        <v>1</v>
      </c>
      <c r="J16">
        <v>1</v>
      </c>
      <c r="K16">
        <v>0</v>
      </c>
    </row>
    <row r="17" spans="1:11" x14ac:dyDescent="0.2">
      <c r="A17">
        <v>4</v>
      </c>
      <c r="B17">
        <v>6</v>
      </c>
      <c r="C17">
        <v>6</v>
      </c>
      <c r="D17">
        <v>5</v>
      </c>
      <c r="E17">
        <v>4</v>
      </c>
      <c r="F17">
        <v>4</v>
      </c>
      <c r="G17">
        <v>3</v>
      </c>
      <c r="H17">
        <v>2</v>
      </c>
      <c r="I17">
        <v>1</v>
      </c>
      <c r="J17">
        <v>1</v>
      </c>
      <c r="K17">
        <v>0</v>
      </c>
    </row>
    <row r="18" spans="1:11" x14ac:dyDescent="0.2">
      <c r="A18">
        <v>5</v>
      </c>
      <c r="B18">
        <v>7</v>
      </c>
      <c r="C18">
        <v>6</v>
      </c>
      <c r="D18">
        <v>5</v>
      </c>
      <c r="E18">
        <v>5</v>
      </c>
      <c r="F18">
        <v>4</v>
      </c>
      <c r="G18">
        <v>3</v>
      </c>
      <c r="H18">
        <v>2</v>
      </c>
      <c r="I18">
        <v>2</v>
      </c>
      <c r="J18">
        <v>1</v>
      </c>
      <c r="K18">
        <v>1</v>
      </c>
    </row>
    <row r="19" spans="1:11" x14ac:dyDescent="0.2">
      <c r="A19">
        <v>6</v>
      </c>
      <c r="B19">
        <v>8</v>
      </c>
      <c r="C19">
        <v>7</v>
      </c>
      <c r="D19">
        <v>6</v>
      </c>
      <c r="E19">
        <v>5</v>
      </c>
      <c r="F19">
        <v>4</v>
      </c>
      <c r="G19">
        <v>3</v>
      </c>
      <c r="H19">
        <v>3</v>
      </c>
      <c r="I19">
        <v>2</v>
      </c>
      <c r="J19">
        <v>1</v>
      </c>
      <c r="K19">
        <v>1</v>
      </c>
    </row>
    <row r="20" spans="1:11" x14ac:dyDescent="0.2">
      <c r="A20">
        <v>7</v>
      </c>
      <c r="B20">
        <v>8</v>
      </c>
      <c r="C20">
        <v>7</v>
      </c>
      <c r="D20">
        <v>6</v>
      </c>
      <c r="E20">
        <v>5</v>
      </c>
      <c r="F20">
        <v>5</v>
      </c>
      <c r="G20">
        <v>4</v>
      </c>
      <c r="H20">
        <v>3</v>
      </c>
      <c r="I20">
        <v>2</v>
      </c>
      <c r="J20">
        <v>1</v>
      </c>
      <c r="K20">
        <v>1</v>
      </c>
    </row>
    <row r="21" spans="1:11" x14ac:dyDescent="0.2">
      <c r="A21" s="3" t="s">
        <v>177</v>
      </c>
      <c r="B21">
        <v>9</v>
      </c>
      <c r="C21">
        <v>8</v>
      </c>
      <c r="D21">
        <v>7</v>
      </c>
      <c r="E21">
        <v>6</v>
      </c>
      <c r="F21">
        <v>5</v>
      </c>
      <c r="G21">
        <v>4</v>
      </c>
      <c r="H21">
        <v>3</v>
      </c>
      <c r="I21">
        <v>2</v>
      </c>
      <c r="J21">
        <v>1</v>
      </c>
      <c r="K2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5"/>
  <sheetViews>
    <sheetView workbookViewId="0">
      <selection activeCell="B3" sqref="B3:E3"/>
    </sheetView>
  </sheetViews>
  <sheetFormatPr baseColWidth="10" defaultRowHeight="15" x14ac:dyDescent="0.2"/>
  <sheetData>
    <row r="2" spans="1:5" x14ac:dyDescent="0.2">
      <c r="B2" t="s">
        <v>178</v>
      </c>
      <c r="C2" t="s">
        <v>179</v>
      </c>
      <c r="D2" t="s">
        <v>180</v>
      </c>
      <c r="E2" t="s">
        <v>181</v>
      </c>
    </row>
    <row r="3" spans="1:5" x14ac:dyDescent="0.2">
      <c r="A3" t="s">
        <v>182</v>
      </c>
      <c r="B3">
        <v>11</v>
      </c>
      <c r="C3">
        <v>4</v>
      </c>
      <c r="D3">
        <v>10</v>
      </c>
      <c r="E3">
        <v>4</v>
      </c>
    </row>
    <row r="5" spans="1:5" x14ac:dyDescent="0.2">
      <c r="A5" t="s">
        <v>183</v>
      </c>
      <c r="B5">
        <v>1</v>
      </c>
      <c r="C5">
        <v>0</v>
      </c>
      <c r="D5">
        <v>2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workbookViewId="0">
      <selection activeCell="A18" sqref="A18:D27"/>
    </sheetView>
  </sheetViews>
  <sheetFormatPr baseColWidth="10" defaultColWidth="8.83203125" defaultRowHeight="15" x14ac:dyDescent="0.2"/>
  <cols>
    <col min="1" max="4" width="30" customWidth="1"/>
  </cols>
  <sheetData>
    <row r="1" spans="1:4" x14ac:dyDescent="0.2">
      <c r="A1" t="s">
        <v>184</v>
      </c>
    </row>
    <row r="2" spans="1:4" x14ac:dyDescent="0.2">
      <c r="A2" t="s">
        <v>2</v>
      </c>
    </row>
    <row r="3" spans="1:4" x14ac:dyDescent="0.2">
      <c r="A3" t="s">
        <v>9</v>
      </c>
      <c r="B3">
        <f>IF(COUNTA(C9:C40)=0,"",SUMIF(C9:C40,"X",D9:D40))</f>
        <v>0</v>
      </c>
    </row>
    <row r="4" spans="1:4" x14ac:dyDescent="0.2">
      <c r="A4" t="s">
        <v>185</v>
      </c>
      <c r="B4" s="1"/>
    </row>
    <row r="5" spans="1:4" x14ac:dyDescent="0.2">
      <c r="A5" t="s">
        <v>186</v>
      </c>
      <c r="B5" s="1" t="str">
        <f>IF(B4="","",B4 + IF($B$3="",0,$B$3))</f>
        <v/>
      </c>
    </row>
    <row r="6" spans="1:4" x14ac:dyDescent="0.2">
      <c r="A6" t="s">
        <v>187</v>
      </c>
      <c r="B6" t="str">
        <f>IF($B$1="","", MATCH($B$1, Infantry_Fire_Table!$B$1:$J$1,1))</f>
        <v/>
      </c>
    </row>
    <row r="7" spans="1:4" x14ac:dyDescent="0.2">
      <c r="A7" t="s">
        <v>188</v>
      </c>
      <c r="B7" s="1" t="str">
        <f>IF(OR($B$6="",$B$5=""),"", INDEX(Infantry_Fire_Table!$B$2:$J$15, MATCH($B$5, Infantry_Fire_Table!$A$2:$A$15,1), $B$6))</f>
        <v/>
      </c>
    </row>
    <row r="8" spans="1:4" x14ac:dyDescent="0.2">
      <c r="A8" t="s">
        <v>189</v>
      </c>
      <c r="B8" s="7" t="str">
        <f>IF($B$7="","","FP="&amp;TEXT($B$1,"0")&amp;", modified roll="&amp;TEXT($B$5,"0")&amp;" → "&amp;$B$7)</f>
        <v/>
      </c>
    </row>
    <row r="9" spans="1:4" x14ac:dyDescent="0.2">
      <c r="A9" t="s">
        <v>13</v>
      </c>
      <c r="B9" t="s">
        <v>14</v>
      </c>
      <c r="C9" t="s">
        <v>15</v>
      </c>
      <c r="D9" t="s">
        <v>16</v>
      </c>
    </row>
    <row r="10" spans="1:4" x14ac:dyDescent="0.2">
      <c r="A10" t="s">
        <v>17</v>
      </c>
      <c r="B10" t="s">
        <v>18</v>
      </c>
      <c r="C10" t="s">
        <v>19</v>
      </c>
      <c r="D10">
        <v>-1</v>
      </c>
    </row>
    <row r="13" spans="1:4" x14ac:dyDescent="0.2">
      <c r="A13" t="s">
        <v>190</v>
      </c>
      <c r="B13" t="str">
        <f>B5</f>
        <v/>
      </c>
    </row>
    <row r="14" spans="1:4" x14ac:dyDescent="0.2">
      <c r="A14" t="s">
        <v>187</v>
      </c>
      <c r="B14" t="str">
        <f>IF($B$13="","", MATCH($B$13, Infantry_Fire_Table!$B$1:$J$1,1))</f>
        <v/>
      </c>
    </row>
    <row r="15" spans="1:4" x14ac:dyDescent="0.2">
      <c r="A15" t="s">
        <v>191</v>
      </c>
      <c r="B15" t="str">
        <f>B8</f>
        <v/>
      </c>
    </row>
    <row r="16" spans="1:4" x14ac:dyDescent="0.2">
      <c r="A16" t="s">
        <v>188</v>
      </c>
      <c r="B16" t="str">
        <f>IF(OR($B$14="",$B$15=""),"", INDEX(Infantry_Fire_Table!$B$2:$J$15, MATCH($B$15, Infantry_Fire_Table!$A$2:$A$15,1), $B$14))</f>
        <v/>
      </c>
    </row>
    <row r="17" spans="1:4" x14ac:dyDescent="0.2">
      <c r="A17" t="s">
        <v>189</v>
      </c>
      <c r="B17" t="str">
        <f>IF($B$16="","","FP="&amp;TEXT($B$13,"0")&amp;", modified roll="&amp;TEXT($B$15,"0")&amp;" → "&amp;$B$16)</f>
        <v/>
      </c>
      <c r="D17">
        <v>1</v>
      </c>
    </row>
    <row r="18" spans="1:4" x14ac:dyDescent="0.2">
      <c r="A18" t="s">
        <v>25</v>
      </c>
      <c r="B18" t="s">
        <v>26</v>
      </c>
      <c r="C18" t="s">
        <v>19</v>
      </c>
      <c r="D18">
        <v>2</v>
      </c>
    </row>
    <row r="19" spans="1:4" x14ac:dyDescent="0.2">
      <c r="A19" t="s">
        <v>25</v>
      </c>
      <c r="B19" t="s">
        <v>27</v>
      </c>
      <c r="D19">
        <v>3</v>
      </c>
    </row>
    <row r="20" spans="1:4" x14ac:dyDescent="0.2">
      <c r="A20" t="s">
        <v>25</v>
      </c>
      <c r="B20" t="s">
        <v>28</v>
      </c>
      <c r="C20" t="s">
        <v>19</v>
      </c>
      <c r="D20">
        <v>3</v>
      </c>
    </row>
    <row r="21" spans="1:4" x14ac:dyDescent="0.2">
      <c r="A21" t="s">
        <v>25</v>
      </c>
      <c r="B21" t="s">
        <v>29</v>
      </c>
      <c r="D21">
        <v>4</v>
      </c>
    </row>
    <row r="22" spans="1:4" x14ac:dyDescent="0.2">
      <c r="A22" t="s">
        <v>25</v>
      </c>
      <c r="B22" t="s">
        <v>30</v>
      </c>
      <c r="C22" t="s">
        <v>19</v>
      </c>
      <c r="D22">
        <v>2</v>
      </c>
    </row>
    <row r="23" spans="1:4" x14ac:dyDescent="0.2">
      <c r="A23" t="s">
        <v>25</v>
      </c>
      <c r="B23" t="s">
        <v>31</v>
      </c>
      <c r="D23">
        <v>-1</v>
      </c>
    </row>
    <row r="24" spans="1:4" x14ac:dyDescent="0.2">
      <c r="A24" t="s">
        <v>25</v>
      </c>
      <c r="B24" t="s">
        <v>32</v>
      </c>
      <c r="C24" t="s">
        <v>19</v>
      </c>
      <c r="D24">
        <v>1</v>
      </c>
    </row>
    <row r="25" spans="1:4" x14ac:dyDescent="0.2">
      <c r="A25" t="s">
        <v>25</v>
      </c>
      <c r="B25" t="s">
        <v>33</v>
      </c>
      <c r="D25">
        <v>-2</v>
      </c>
    </row>
    <row r="26" spans="1:4" x14ac:dyDescent="0.2">
      <c r="A26" t="s">
        <v>25</v>
      </c>
      <c r="B26" t="s">
        <v>34</v>
      </c>
      <c r="D26">
        <v>2</v>
      </c>
    </row>
    <row r="27" spans="1:4" x14ac:dyDescent="0.2">
      <c r="A27" t="s">
        <v>25</v>
      </c>
      <c r="B27" t="s">
        <v>35</v>
      </c>
      <c r="D27">
        <v>3</v>
      </c>
    </row>
    <row r="28" spans="1:4" x14ac:dyDescent="0.2">
      <c r="A28" t="s">
        <v>25</v>
      </c>
      <c r="B28" t="s">
        <v>36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Weapons!$A$2:$A$100</xm:f>
          </x14:formula1>
          <xm:sqref>B1 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"/>
  <sheetViews>
    <sheetView tabSelected="1" workbookViewId="0">
      <selection activeCell="T19" sqref="A1:T19"/>
    </sheetView>
  </sheetViews>
  <sheetFormatPr baseColWidth="10" defaultColWidth="8.83203125" defaultRowHeight="15" x14ac:dyDescent="0.2"/>
  <cols>
    <col min="1" max="1" width="23.1640625" customWidth="1"/>
    <col min="2" max="2" width="14.1640625" customWidth="1"/>
    <col min="3" max="3" width="14" customWidth="1"/>
  </cols>
  <sheetData>
    <row r="1" spans="1:20" x14ac:dyDescent="0.2">
      <c r="A1" t="s">
        <v>46</v>
      </c>
      <c r="B1" t="s">
        <v>215</v>
      </c>
      <c r="C1" t="s">
        <v>197</v>
      </c>
      <c r="D1" t="s">
        <v>198</v>
      </c>
      <c r="E1" t="s">
        <v>199</v>
      </c>
      <c r="F1" t="s">
        <v>200</v>
      </c>
      <c r="G1">
        <v>12</v>
      </c>
      <c r="H1">
        <v>14</v>
      </c>
      <c r="I1">
        <v>16</v>
      </c>
      <c r="J1">
        <v>18</v>
      </c>
      <c r="K1">
        <v>21</v>
      </c>
      <c r="L1">
        <v>24</v>
      </c>
      <c r="M1">
        <v>28</v>
      </c>
      <c r="N1">
        <v>32</v>
      </c>
      <c r="O1">
        <v>36</v>
      </c>
      <c r="P1">
        <v>48</v>
      </c>
      <c r="Q1">
        <v>60</v>
      </c>
      <c r="R1">
        <v>80</v>
      </c>
      <c r="S1">
        <v>100</v>
      </c>
      <c r="T1" t="s">
        <v>192</v>
      </c>
    </row>
    <row r="2" spans="1:20" x14ac:dyDescent="0.2">
      <c r="A2" t="s">
        <v>201</v>
      </c>
      <c r="B2" t="s">
        <v>193</v>
      </c>
      <c r="C2">
        <v>1</v>
      </c>
      <c r="D2">
        <v>1</v>
      </c>
      <c r="E2">
        <v>1</v>
      </c>
      <c r="F2">
        <v>1</v>
      </c>
      <c r="G2">
        <v>1</v>
      </c>
      <c r="H2" t="s">
        <v>194</v>
      </c>
      <c r="I2" t="s">
        <v>194</v>
      </c>
      <c r="J2" t="s">
        <v>194</v>
      </c>
      <c r="K2" t="s">
        <v>194</v>
      </c>
      <c r="L2" t="s">
        <v>194</v>
      </c>
      <c r="M2" t="s">
        <v>194</v>
      </c>
      <c r="N2" t="s">
        <v>194</v>
      </c>
      <c r="O2" t="s">
        <v>194</v>
      </c>
      <c r="P2" t="s">
        <v>194</v>
      </c>
      <c r="Q2" t="s">
        <v>194</v>
      </c>
      <c r="R2" t="s">
        <v>194</v>
      </c>
      <c r="S2" t="s">
        <v>194</v>
      </c>
      <c r="T2" t="s">
        <v>194</v>
      </c>
    </row>
    <row r="3" spans="1:20" x14ac:dyDescent="0.2">
      <c r="A3" t="s">
        <v>202</v>
      </c>
      <c r="B3" t="s">
        <v>193</v>
      </c>
      <c r="C3" t="s">
        <v>195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 t="s">
        <v>194</v>
      </c>
      <c r="M3" t="s">
        <v>194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S3" t="s">
        <v>194</v>
      </c>
      <c r="T3" t="s">
        <v>194</v>
      </c>
    </row>
    <row r="4" spans="1:20" x14ac:dyDescent="0.2">
      <c r="A4" t="s">
        <v>203</v>
      </c>
      <c r="B4" t="s">
        <v>193</v>
      </c>
      <c r="C4" t="s">
        <v>195</v>
      </c>
      <c r="D4" t="s">
        <v>195</v>
      </c>
      <c r="E4" t="s">
        <v>195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S4" t="s">
        <v>194</v>
      </c>
      <c r="T4" t="s">
        <v>194</v>
      </c>
    </row>
    <row r="5" spans="1:20" x14ac:dyDescent="0.2">
      <c r="A5" s="5" t="s">
        <v>204</v>
      </c>
      <c r="B5" t="s">
        <v>193</v>
      </c>
      <c r="C5" t="s">
        <v>193</v>
      </c>
      <c r="D5" t="s">
        <v>193</v>
      </c>
      <c r="E5" t="s">
        <v>195</v>
      </c>
      <c r="F5" t="s">
        <v>195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 t="s">
        <v>194</v>
      </c>
      <c r="P5" t="s">
        <v>194</v>
      </c>
      <c r="Q5" t="s">
        <v>194</v>
      </c>
      <c r="R5" t="s">
        <v>194</v>
      </c>
      <c r="S5" t="s">
        <v>194</v>
      </c>
      <c r="T5" t="s">
        <v>194</v>
      </c>
    </row>
    <row r="6" spans="1:20" x14ac:dyDescent="0.2">
      <c r="A6" t="s">
        <v>205</v>
      </c>
      <c r="B6" t="s">
        <v>196</v>
      </c>
      <c r="C6" t="s">
        <v>196</v>
      </c>
      <c r="D6" t="s">
        <v>193</v>
      </c>
      <c r="E6" t="s">
        <v>193</v>
      </c>
      <c r="F6" t="s">
        <v>195</v>
      </c>
      <c r="G6" t="s">
        <v>195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194</v>
      </c>
      <c r="P6" t="s">
        <v>194</v>
      </c>
      <c r="Q6" t="s">
        <v>194</v>
      </c>
      <c r="R6" t="s">
        <v>194</v>
      </c>
      <c r="S6" t="s">
        <v>194</v>
      </c>
      <c r="T6" t="s">
        <v>194</v>
      </c>
    </row>
    <row r="7" spans="1:20" x14ac:dyDescent="0.2">
      <c r="A7" t="s">
        <v>206</v>
      </c>
      <c r="B7" t="s">
        <v>196</v>
      </c>
      <c r="C7" t="s">
        <v>196</v>
      </c>
      <c r="D7" t="s">
        <v>196</v>
      </c>
      <c r="E7" t="s">
        <v>193</v>
      </c>
      <c r="F7" t="s">
        <v>193</v>
      </c>
      <c r="G7" t="s">
        <v>195</v>
      </c>
      <c r="H7" t="s">
        <v>195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 t="s">
        <v>194</v>
      </c>
      <c r="Q7" t="s">
        <v>194</v>
      </c>
      <c r="R7" t="s">
        <v>194</v>
      </c>
      <c r="S7" t="s">
        <v>194</v>
      </c>
    </row>
    <row r="8" spans="1:20" x14ac:dyDescent="0.2">
      <c r="A8" t="s">
        <v>207</v>
      </c>
      <c r="B8" t="s">
        <v>196</v>
      </c>
      <c r="C8" t="s">
        <v>196</v>
      </c>
      <c r="D8" t="s">
        <v>196</v>
      </c>
      <c r="E8" t="s">
        <v>193</v>
      </c>
      <c r="F8" t="s">
        <v>193</v>
      </c>
      <c r="G8" t="s">
        <v>193</v>
      </c>
      <c r="H8" t="s">
        <v>195</v>
      </c>
      <c r="I8" t="s">
        <v>195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 t="s">
        <v>194</v>
      </c>
      <c r="R8" t="s">
        <v>194</v>
      </c>
      <c r="S8" t="s">
        <v>194</v>
      </c>
      <c r="T8" t="s">
        <v>194</v>
      </c>
    </row>
    <row r="9" spans="1:20" x14ac:dyDescent="0.2">
      <c r="A9" t="s">
        <v>208</v>
      </c>
      <c r="B9" t="s">
        <v>196</v>
      </c>
      <c r="C9" t="s">
        <v>196</v>
      </c>
      <c r="D9" t="s">
        <v>196</v>
      </c>
      <c r="E9" t="s">
        <v>196</v>
      </c>
      <c r="F9" t="s">
        <v>193</v>
      </c>
      <c r="G9" t="s">
        <v>193</v>
      </c>
      <c r="H9" t="s">
        <v>193</v>
      </c>
      <c r="I9" t="s">
        <v>195</v>
      </c>
      <c r="J9" t="s">
        <v>195</v>
      </c>
      <c r="K9" t="s">
        <v>195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 t="s">
        <v>194</v>
      </c>
      <c r="S9" t="s">
        <v>194</v>
      </c>
      <c r="T9" t="s">
        <v>194</v>
      </c>
    </row>
    <row r="10" spans="1:20" x14ac:dyDescent="0.2">
      <c r="A10" t="s">
        <v>209</v>
      </c>
      <c r="B10" t="s">
        <v>196</v>
      </c>
      <c r="C10" t="s">
        <v>196</v>
      </c>
      <c r="D10" t="s">
        <v>196</v>
      </c>
      <c r="E10" t="s">
        <v>196</v>
      </c>
      <c r="F10" t="s">
        <v>196</v>
      </c>
      <c r="G10" t="s">
        <v>193</v>
      </c>
      <c r="H10" t="s">
        <v>193</v>
      </c>
      <c r="I10" t="s">
        <v>193</v>
      </c>
      <c r="J10" t="s">
        <v>195</v>
      </c>
      <c r="K10" t="s">
        <v>195</v>
      </c>
      <c r="L10" t="s">
        <v>195</v>
      </c>
      <c r="M10" t="s">
        <v>195</v>
      </c>
      <c r="N10">
        <v>1</v>
      </c>
      <c r="O10">
        <v>1</v>
      </c>
      <c r="P10">
        <v>1</v>
      </c>
      <c r="Q10">
        <v>1</v>
      </c>
      <c r="R10" t="s">
        <v>194</v>
      </c>
      <c r="S10" t="s">
        <v>194</v>
      </c>
      <c r="T10" t="s">
        <v>194</v>
      </c>
    </row>
    <row r="11" spans="1:20" x14ac:dyDescent="0.2">
      <c r="A11" t="s">
        <v>210</v>
      </c>
      <c r="B11" t="s">
        <v>196</v>
      </c>
      <c r="C11" t="s">
        <v>196</v>
      </c>
      <c r="D11" t="s">
        <v>196</v>
      </c>
      <c r="E11" t="s">
        <v>196</v>
      </c>
      <c r="F11" t="s">
        <v>196</v>
      </c>
      <c r="G11" t="s">
        <v>196</v>
      </c>
      <c r="H11" t="s">
        <v>193</v>
      </c>
      <c r="I11" t="s">
        <v>193</v>
      </c>
      <c r="J11" t="s">
        <v>193</v>
      </c>
      <c r="K11" t="s">
        <v>195</v>
      </c>
      <c r="L11" t="s">
        <v>195</v>
      </c>
      <c r="M11" t="s">
        <v>195</v>
      </c>
      <c r="N11" t="s">
        <v>195</v>
      </c>
      <c r="O11">
        <v>1</v>
      </c>
      <c r="P11">
        <v>1</v>
      </c>
      <c r="Q11">
        <v>1</v>
      </c>
      <c r="R11" t="s">
        <v>194</v>
      </c>
      <c r="S11" t="s">
        <v>194</v>
      </c>
      <c r="T11" t="s">
        <v>194</v>
      </c>
    </row>
    <row r="12" spans="1:20" x14ac:dyDescent="0.2">
      <c r="A12" t="s">
        <v>211</v>
      </c>
      <c r="B12" t="s">
        <v>196</v>
      </c>
      <c r="C12" t="s">
        <v>196</v>
      </c>
      <c r="D12" t="s">
        <v>196</v>
      </c>
      <c r="E12" t="s">
        <v>196</v>
      </c>
      <c r="F12" t="s">
        <v>196</v>
      </c>
      <c r="G12" t="s">
        <v>196</v>
      </c>
      <c r="H12" t="s">
        <v>196</v>
      </c>
      <c r="I12" t="s">
        <v>193</v>
      </c>
      <c r="J12" t="s">
        <v>193</v>
      </c>
      <c r="K12" t="s">
        <v>195</v>
      </c>
      <c r="L12" t="s">
        <v>195</v>
      </c>
      <c r="M12" t="s">
        <v>195</v>
      </c>
      <c r="N12" t="s">
        <v>195</v>
      </c>
      <c r="O12">
        <v>1</v>
      </c>
      <c r="P12">
        <v>1</v>
      </c>
      <c r="Q12">
        <v>1</v>
      </c>
      <c r="R12">
        <v>1</v>
      </c>
    </row>
    <row r="13" spans="1:20" x14ac:dyDescent="0.2">
      <c r="A13" t="s">
        <v>212</v>
      </c>
      <c r="B13" t="s">
        <v>196</v>
      </c>
      <c r="C13" t="s">
        <v>196</v>
      </c>
      <c r="D13" t="s">
        <v>196</v>
      </c>
      <c r="E13" t="s">
        <v>196</v>
      </c>
      <c r="F13" t="s">
        <v>196</v>
      </c>
      <c r="G13" t="s">
        <v>196</v>
      </c>
      <c r="H13" t="s">
        <v>196</v>
      </c>
      <c r="I13" t="s">
        <v>196</v>
      </c>
      <c r="J13" t="s">
        <v>193</v>
      </c>
      <c r="K13" t="s">
        <v>193</v>
      </c>
      <c r="L13" t="s">
        <v>195</v>
      </c>
      <c r="M13" t="s">
        <v>195</v>
      </c>
      <c r="N13" t="s">
        <v>195</v>
      </c>
      <c r="O13" t="s">
        <v>195</v>
      </c>
      <c r="P13">
        <v>1</v>
      </c>
      <c r="Q13">
        <v>1</v>
      </c>
      <c r="R13">
        <v>1</v>
      </c>
      <c r="S13">
        <v>1</v>
      </c>
    </row>
    <row r="14" spans="1:20" x14ac:dyDescent="0.2">
      <c r="A14" t="s">
        <v>213</v>
      </c>
      <c r="B14" t="s">
        <v>196</v>
      </c>
      <c r="C14" t="s">
        <v>196</v>
      </c>
      <c r="D14" t="s">
        <v>196</v>
      </c>
      <c r="E14" t="s">
        <v>196</v>
      </c>
      <c r="F14" t="s">
        <v>196</v>
      </c>
      <c r="G14" t="s">
        <v>196</v>
      </c>
      <c r="H14" t="s">
        <v>196</v>
      </c>
      <c r="I14" t="s">
        <v>196</v>
      </c>
      <c r="J14" t="s">
        <v>196</v>
      </c>
      <c r="K14" t="s">
        <v>193</v>
      </c>
      <c r="L14" t="s">
        <v>195</v>
      </c>
      <c r="M14" t="s">
        <v>195</v>
      </c>
      <c r="N14" t="s">
        <v>195</v>
      </c>
      <c r="O14" t="s">
        <v>195</v>
      </c>
      <c r="P14">
        <v>1</v>
      </c>
      <c r="Q14">
        <v>1</v>
      </c>
      <c r="R14">
        <v>1</v>
      </c>
    </row>
    <row r="15" spans="1:20" x14ac:dyDescent="0.2">
      <c r="A15" t="s">
        <v>214</v>
      </c>
      <c r="B15" t="s">
        <v>196</v>
      </c>
      <c r="C15" t="s">
        <v>196</v>
      </c>
      <c r="D15" t="s">
        <v>196</v>
      </c>
      <c r="E15" t="s">
        <v>196</v>
      </c>
      <c r="F15" t="s">
        <v>196</v>
      </c>
      <c r="G15" t="s">
        <v>196</v>
      </c>
      <c r="H15" t="s">
        <v>196</v>
      </c>
      <c r="I15" t="s">
        <v>196</v>
      </c>
      <c r="J15" t="s">
        <v>196</v>
      </c>
      <c r="K15" t="s">
        <v>193</v>
      </c>
      <c r="L15" t="s">
        <v>195</v>
      </c>
      <c r="M15" t="s">
        <v>195</v>
      </c>
      <c r="N15" t="s">
        <v>195</v>
      </c>
      <c r="O15" t="s">
        <v>195</v>
      </c>
      <c r="P15">
        <v>1</v>
      </c>
      <c r="Q15">
        <v>1</v>
      </c>
      <c r="R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Calculator</vt:lpstr>
      <vt:lpstr>Weapons</vt:lpstr>
      <vt:lpstr>Kill_Table</vt:lpstr>
      <vt:lpstr>Sheet1</vt:lpstr>
      <vt:lpstr>Infantry_Calculator</vt:lpstr>
      <vt:lpstr>Infantry_Fire_Table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Mikko Jäppinen</cp:lastModifiedBy>
  <dcterms:created xsi:type="dcterms:W3CDTF">2025-12-02T11:36:44Z</dcterms:created>
  <dcterms:modified xsi:type="dcterms:W3CDTF">2026-02-26T20:42:41Z</dcterms:modified>
</cp:coreProperties>
</file>